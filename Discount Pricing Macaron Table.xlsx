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aron Discount Pricing Table" sheetId="1" r:id="rId5"/>
  </sheets>
  <definedNames/>
  <calcPr/>
</workbook>
</file>

<file path=xl/sharedStrings.xml><?xml version="1.0" encoding="utf-8"?>
<sst xmlns="http://schemas.openxmlformats.org/spreadsheetml/2006/main" count="25" uniqueCount="24">
  <si>
    <t>Dozen</t>
  </si>
  <si>
    <t>sold cookies</t>
  </si>
  <si>
    <t>formula discount</t>
  </si>
  <si>
    <t>discount</t>
  </si>
  <si>
    <t>price formula</t>
  </si>
  <si>
    <t>price</t>
  </si>
  <si>
    <t>discount paste</t>
  </si>
  <si>
    <t>savings</t>
  </si>
  <si>
    <t>0.5 Dozen 6 Cookies</t>
  </si>
  <si>
    <t>1 Dozen 12 Cookies</t>
  </si>
  <si>
    <t>1.5 Dozen 18 Cookies</t>
  </si>
  <si>
    <t>2 Dozen 24 Cookies</t>
  </si>
  <si>
    <t>2.5 Dozen 30 Cookies</t>
  </si>
  <si>
    <t>3 Dozen 36 Cookies</t>
  </si>
  <si>
    <t>3.5 Dozen 42 Cookies</t>
  </si>
  <si>
    <t>4 Dozen 48 Cookies</t>
  </si>
  <si>
    <t>4.5 Dozen 54 Cookies</t>
  </si>
  <si>
    <t>5 Dozen 60 Cookies</t>
  </si>
  <si>
    <t>5.5 Dozen 66 Cookies</t>
  </si>
  <si>
    <t>6 Dozen 72 Cookies</t>
  </si>
  <si>
    <t>6.5 Dozen 78 Cookies</t>
  </si>
  <si>
    <t>7 Dozen 84 Cookies</t>
  </si>
  <si>
    <t>7.5 Dozen 90 Cookies</t>
  </si>
  <si>
    <t>8 Dozen 96 Cookies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</si>
</sst>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0.13"/>
    <col customWidth="1" min="3" max="4" width="17.38"/>
    <col customWidth="1" min="5" max="9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1" t="s">
        <v>7</v>
      </c>
    </row>
    <row r="2">
      <c r="A2" s="1">
        <v>0.5</v>
      </c>
      <c r="B2" s="1">
        <v>6.0</v>
      </c>
      <c r="C2" s="2" t="str">
        <f t="shared" ref="C2:C17" si="1">A2&amp;" Dozen "&amp;B2&amp;" Cookies"</f>
        <v>0.5 Dozen 6 Cookies</v>
      </c>
      <c r="D2" s="2" t="s">
        <v>8</v>
      </c>
      <c r="E2" s="2">
        <f>B2*4.5</f>
        <v>27</v>
      </c>
    </row>
    <row r="3">
      <c r="A3" s="1">
        <v>1.0</v>
      </c>
      <c r="B3" s="1">
        <v>12.0</v>
      </c>
      <c r="C3" s="2" t="str">
        <f t="shared" si="1"/>
        <v>1 Dozen 12 Cookies</v>
      </c>
      <c r="D3" s="2" t="s">
        <v>9</v>
      </c>
      <c r="E3" s="2">
        <f t="shared" ref="E3:E17" si="2">B3*3.75</f>
        <v>45</v>
      </c>
      <c r="F3" s="2">
        <v>45.0</v>
      </c>
      <c r="G3" s="2">
        <f t="shared" ref="G3:G17" si="3">F3-1</f>
        <v>44</v>
      </c>
      <c r="H3" s="2">
        <v>44.0</v>
      </c>
      <c r="I3" s="2">
        <f t="shared" ref="I3:I17" si="4">0.75*B3</f>
        <v>9</v>
      </c>
    </row>
    <row r="4">
      <c r="A4" s="1">
        <v>1.5</v>
      </c>
      <c r="B4" s="1">
        <v>18.0</v>
      </c>
      <c r="C4" s="2" t="str">
        <f t="shared" si="1"/>
        <v>1.5 Dozen 18 Cookies</v>
      </c>
      <c r="D4" s="2" t="s">
        <v>10</v>
      </c>
      <c r="E4" s="2">
        <f t="shared" si="2"/>
        <v>67.5</v>
      </c>
      <c r="F4" s="2">
        <v>67.5</v>
      </c>
      <c r="G4" s="2">
        <f t="shared" si="3"/>
        <v>66.5</v>
      </c>
      <c r="H4" s="2">
        <v>66.5</v>
      </c>
      <c r="I4" s="2">
        <f t="shared" si="4"/>
        <v>13.5</v>
      </c>
    </row>
    <row r="5">
      <c r="A5" s="1">
        <v>2.0</v>
      </c>
      <c r="B5" s="1">
        <v>24.0</v>
      </c>
      <c r="C5" s="2" t="str">
        <f t="shared" si="1"/>
        <v>2 Dozen 24 Cookies</v>
      </c>
      <c r="D5" s="2" t="s">
        <v>11</v>
      </c>
      <c r="E5" s="2">
        <f t="shared" si="2"/>
        <v>90</v>
      </c>
      <c r="F5" s="2">
        <v>90.0</v>
      </c>
      <c r="G5" s="2">
        <f t="shared" si="3"/>
        <v>89</v>
      </c>
      <c r="H5" s="2">
        <v>89.0</v>
      </c>
      <c r="I5" s="2">
        <f t="shared" si="4"/>
        <v>18</v>
      </c>
    </row>
    <row r="6">
      <c r="A6" s="1">
        <v>2.5</v>
      </c>
      <c r="B6" s="1">
        <v>30.0</v>
      </c>
      <c r="C6" s="2" t="str">
        <f t="shared" si="1"/>
        <v>2.5 Dozen 30 Cookies</v>
      </c>
      <c r="D6" s="2" t="s">
        <v>12</v>
      </c>
      <c r="E6" s="2">
        <f t="shared" si="2"/>
        <v>112.5</v>
      </c>
      <c r="F6" s="2">
        <v>112.5</v>
      </c>
      <c r="G6" s="2">
        <f t="shared" si="3"/>
        <v>111.5</v>
      </c>
      <c r="H6" s="2">
        <v>111.5</v>
      </c>
      <c r="I6" s="2">
        <f t="shared" si="4"/>
        <v>22.5</v>
      </c>
    </row>
    <row r="7">
      <c r="A7" s="1">
        <v>3.0</v>
      </c>
      <c r="B7" s="1">
        <v>36.0</v>
      </c>
      <c r="C7" s="2" t="str">
        <f t="shared" si="1"/>
        <v>3 Dozen 36 Cookies</v>
      </c>
      <c r="D7" s="2" t="s">
        <v>13</v>
      </c>
      <c r="E7" s="2">
        <f t="shared" si="2"/>
        <v>135</v>
      </c>
      <c r="F7" s="2">
        <v>135.0</v>
      </c>
      <c r="G7" s="2">
        <f t="shared" si="3"/>
        <v>134</v>
      </c>
      <c r="H7" s="2">
        <v>134.0</v>
      </c>
      <c r="I7" s="2">
        <f t="shared" si="4"/>
        <v>27</v>
      </c>
    </row>
    <row r="8">
      <c r="A8" s="1">
        <v>3.5</v>
      </c>
      <c r="B8" s="1">
        <v>42.0</v>
      </c>
      <c r="C8" s="2" t="str">
        <f t="shared" si="1"/>
        <v>3.5 Dozen 42 Cookies</v>
      </c>
      <c r="D8" s="2" t="s">
        <v>14</v>
      </c>
      <c r="E8" s="2">
        <f t="shared" si="2"/>
        <v>157.5</v>
      </c>
      <c r="F8" s="2">
        <v>157.5</v>
      </c>
      <c r="G8" s="2">
        <f t="shared" si="3"/>
        <v>156.5</v>
      </c>
      <c r="H8" s="2">
        <v>156.5</v>
      </c>
      <c r="I8" s="2">
        <f t="shared" si="4"/>
        <v>31.5</v>
      </c>
    </row>
    <row r="9">
      <c r="A9" s="1">
        <v>4.0</v>
      </c>
      <c r="B9" s="1">
        <v>48.0</v>
      </c>
      <c r="C9" s="2" t="str">
        <f t="shared" si="1"/>
        <v>4 Dozen 48 Cookies</v>
      </c>
      <c r="D9" s="2" t="s">
        <v>15</v>
      </c>
      <c r="E9" s="2">
        <f t="shared" si="2"/>
        <v>180</v>
      </c>
      <c r="F9" s="2">
        <v>180.0</v>
      </c>
      <c r="G9" s="2">
        <f t="shared" si="3"/>
        <v>179</v>
      </c>
      <c r="H9" s="2">
        <v>179.0</v>
      </c>
      <c r="I9" s="2">
        <f t="shared" si="4"/>
        <v>36</v>
      </c>
    </row>
    <row r="10">
      <c r="A10" s="1">
        <v>4.5</v>
      </c>
      <c r="B10" s="1">
        <v>54.0</v>
      </c>
      <c r="C10" s="2" t="str">
        <f t="shared" si="1"/>
        <v>4.5 Dozen 54 Cookies</v>
      </c>
      <c r="D10" s="2" t="s">
        <v>16</v>
      </c>
      <c r="E10" s="2">
        <f t="shared" si="2"/>
        <v>202.5</v>
      </c>
      <c r="F10" s="2">
        <v>202.5</v>
      </c>
      <c r="G10" s="2">
        <f t="shared" si="3"/>
        <v>201.5</v>
      </c>
      <c r="H10" s="2">
        <v>201.5</v>
      </c>
      <c r="I10" s="2">
        <f t="shared" si="4"/>
        <v>40.5</v>
      </c>
    </row>
    <row r="11">
      <c r="A11" s="1">
        <v>5.0</v>
      </c>
      <c r="B11" s="1">
        <v>60.0</v>
      </c>
      <c r="C11" s="2" t="str">
        <f t="shared" si="1"/>
        <v>5 Dozen 60 Cookies</v>
      </c>
      <c r="D11" s="2" t="s">
        <v>17</v>
      </c>
      <c r="E11" s="2">
        <f t="shared" si="2"/>
        <v>225</v>
      </c>
      <c r="F11" s="2">
        <v>225.0</v>
      </c>
      <c r="G11" s="2">
        <f t="shared" si="3"/>
        <v>224</v>
      </c>
      <c r="H11" s="2">
        <v>224.0</v>
      </c>
      <c r="I11" s="2">
        <f t="shared" si="4"/>
        <v>45</v>
      </c>
    </row>
    <row r="12">
      <c r="A12" s="1">
        <v>5.5</v>
      </c>
      <c r="B12" s="1">
        <v>66.0</v>
      </c>
      <c r="C12" s="2" t="str">
        <f t="shared" si="1"/>
        <v>5.5 Dozen 66 Cookies</v>
      </c>
      <c r="D12" s="2" t="s">
        <v>18</v>
      </c>
      <c r="E12" s="2">
        <f t="shared" si="2"/>
        <v>247.5</v>
      </c>
      <c r="F12" s="2">
        <v>247.5</v>
      </c>
      <c r="G12" s="2">
        <f t="shared" si="3"/>
        <v>246.5</v>
      </c>
      <c r="H12" s="2">
        <v>246.5</v>
      </c>
      <c r="I12" s="2">
        <f t="shared" si="4"/>
        <v>49.5</v>
      </c>
    </row>
    <row r="13">
      <c r="A13" s="1">
        <v>6.0</v>
      </c>
      <c r="B13" s="1">
        <v>72.0</v>
      </c>
      <c r="C13" s="2" t="str">
        <f t="shared" si="1"/>
        <v>6 Dozen 72 Cookies</v>
      </c>
      <c r="D13" s="2" t="s">
        <v>19</v>
      </c>
      <c r="E13" s="2">
        <f t="shared" si="2"/>
        <v>270</v>
      </c>
      <c r="F13" s="2">
        <v>270.0</v>
      </c>
      <c r="G13" s="2">
        <f t="shared" si="3"/>
        <v>269</v>
      </c>
      <c r="H13" s="2">
        <v>269.0</v>
      </c>
      <c r="I13" s="2">
        <f t="shared" si="4"/>
        <v>54</v>
      </c>
    </row>
    <row r="14">
      <c r="A14" s="1">
        <v>6.5</v>
      </c>
      <c r="B14" s="1">
        <v>78.0</v>
      </c>
      <c r="C14" s="2" t="str">
        <f t="shared" si="1"/>
        <v>6.5 Dozen 78 Cookies</v>
      </c>
      <c r="D14" s="2" t="s">
        <v>20</v>
      </c>
      <c r="E14" s="2">
        <f t="shared" si="2"/>
        <v>292.5</v>
      </c>
      <c r="F14" s="2">
        <v>292.5</v>
      </c>
      <c r="G14" s="2">
        <f t="shared" si="3"/>
        <v>291.5</v>
      </c>
      <c r="H14" s="2">
        <v>291.5</v>
      </c>
      <c r="I14" s="2">
        <f t="shared" si="4"/>
        <v>58.5</v>
      </c>
    </row>
    <row r="15">
      <c r="A15" s="1">
        <v>7.0</v>
      </c>
      <c r="B15" s="1">
        <v>84.0</v>
      </c>
      <c r="C15" s="2" t="str">
        <f t="shared" si="1"/>
        <v>7 Dozen 84 Cookies</v>
      </c>
      <c r="D15" s="2" t="s">
        <v>21</v>
      </c>
      <c r="E15" s="2">
        <f t="shared" si="2"/>
        <v>315</v>
      </c>
      <c r="F15" s="2">
        <v>315.0</v>
      </c>
      <c r="G15" s="2">
        <f t="shared" si="3"/>
        <v>314</v>
      </c>
      <c r="H15" s="2">
        <v>314.0</v>
      </c>
      <c r="I15" s="2">
        <f t="shared" si="4"/>
        <v>63</v>
      </c>
    </row>
    <row r="16">
      <c r="A16" s="1">
        <v>7.5</v>
      </c>
      <c r="B16" s="1">
        <v>90.0</v>
      </c>
      <c r="C16" s="2" t="str">
        <f t="shared" si="1"/>
        <v>7.5 Dozen 90 Cookies</v>
      </c>
      <c r="D16" s="2" t="s">
        <v>22</v>
      </c>
      <c r="E16" s="2">
        <f t="shared" si="2"/>
        <v>337.5</v>
      </c>
      <c r="F16" s="2">
        <v>337.5</v>
      </c>
      <c r="G16" s="2">
        <f t="shared" si="3"/>
        <v>336.5</v>
      </c>
      <c r="H16" s="2">
        <v>336.5</v>
      </c>
      <c r="I16" s="2">
        <f t="shared" si="4"/>
        <v>67.5</v>
      </c>
    </row>
    <row r="17">
      <c r="A17" s="1">
        <v>8.0</v>
      </c>
      <c r="B17" s="1">
        <v>96.0</v>
      </c>
      <c r="C17" s="2" t="str">
        <f t="shared" si="1"/>
        <v>8 Dozen 96 Cookies</v>
      </c>
      <c r="D17" s="2" t="s">
        <v>23</v>
      </c>
      <c r="E17" s="2">
        <f t="shared" si="2"/>
        <v>360</v>
      </c>
      <c r="F17" s="2">
        <v>360.0</v>
      </c>
      <c r="G17" s="2">
        <f t="shared" si="3"/>
        <v>359</v>
      </c>
      <c r="H17" s="2">
        <v>359.0</v>
      </c>
      <c r="I17" s="2">
        <f t="shared" si="4"/>
        <v>72</v>
      </c>
    </row>
  </sheetData>
  <drawing r:id="rId1"/>
</worksheet>
</file>